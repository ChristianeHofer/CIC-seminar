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R:\Zentrale\Projekte\FB-S\Daten\DA\JDemetra\Schulungen\2025-11-03 Ffm Level 2\4Thu_OutlierCalendar\"/>
    </mc:Choice>
  </mc:AlternateContent>
  <xr:revisionPtr revIDLastSave="0" documentId="8_{D172D4C7-3C8B-4D71-89A7-49007CE7904D}" xr6:coauthVersionLast="47" xr6:coauthVersionMax="47" xr10:uidLastSave="{00000000-0000-0000-0000-000000000000}"/>
  <bookViews>
    <workbookView xWindow="-28920" yWindow="-120" windowWidth="29040" windowHeight="18240" activeTab="1" xr2:uid="{36BA3BFD-BA54-48F6-BE88-15F84F2FEBCC}"/>
  </bookViews>
  <sheets>
    <sheet name="Legend" sheetId="2" r:id="rId1"/>
    <sheet name="Independence Day (Chile)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E5" i="1" s="1"/>
  <c r="H5" i="1" s="1"/>
  <c r="D6" i="1"/>
  <c r="E6" i="1" s="1"/>
  <c r="F6" i="1" s="1"/>
  <c r="D7" i="1"/>
  <c r="E7" i="1" s="1"/>
  <c r="H7" i="1" s="1"/>
  <c r="D8" i="1"/>
  <c r="E8" i="1" s="1"/>
  <c r="L8" i="1" s="1"/>
  <c r="D9" i="1"/>
  <c r="E9" i="1" s="1"/>
  <c r="H9" i="1" s="1"/>
  <c r="D10" i="1"/>
  <c r="E10" i="1" s="1"/>
  <c r="K10" i="1" s="1"/>
  <c r="D11" i="1"/>
  <c r="E11" i="1" s="1"/>
  <c r="H11" i="1" s="1"/>
  <c r="D12" i="1"/>
  <c r="E12" i="1" s="1"/>
  <c r="H12" i="1" s="1"/>
  <c r="D13" i="1"/>
  <c r="E13" i="1" s="1"/>
  <c r="H13" i="1" s="1"/>
  <c r="D14" i="1"/>
  <c r="E14" i="1" s="1"/>
  <c r="D15" i="1"/>
  <c r="D16" i="1"/>
  <c r="E16" i="1" s="1"/>
  <c r="D17" i="1"/>
  <c r="E17" i="1" s="1"/>
  <c r="H17" i="1" s="1"/>
  <c r="D18" i="1"/>
  <c r="E18" i="1" s="1"/>
  <c r="H18" i="1" s="1"/>
  <c r="D19" i="1"/>
  <c r="E19" i="1" s="1"/>
  <c r="H19" i="1" s="1"/>
  <c r="D20" i="1"/>
  <c r="E20" i="1" s="1"/>
  <c r="H20" i="1" s="1"/>
  <c r="D21" i="1"/>
  <c r="E21" i="1" s="1"/>
  <c r="H21" i="1" s="1"/>
  <c r="D22" i="1"/>
  <c r="E22" i="1" s="1"/>
  <c r="D23" i="1"/>
  <c r="E23" i="1" s="1"/>
  <c r="D24" i="1"/>
  <c r="E24" i="1" s="1"/>
  <c r="D25" i="1"/>
  <c r="E25" i="1" s="1"/>
  <c r="H25" i="1" s="1"/>
  <c r="D26" i="1"/>
  <c r="E26" i="1" s="1"/>
  <c r="D27" i="1"/>
  <c r="D28" i="1"/>
  <c r="E28" i="1" s="1"/>
  <c r="D29" i="1"/>
  <c r="E29" i="1" s="1"/>
  <c r="H29" i="1" s="1"/>
  <c r="D30" i="1"/>
  <c r="E30" i="1" s="1"/>
  <c r="J30" i="1" s="1"/>
  <c r="D31" i="1"/>
  <c r="E31" i="1" s="1"/>
  <c r="H31" i="1" s="1"/>
  <c r="D32" i="1"/>
  <c r="E32" i="1" s="1"/>
  <c r="F32" i="1" s="1"/>
  <c r="D33" i="1"/>
  <c r="E33" i="1" s="1"/>
  <c r="H33" i="1" s="1"/>
  <c r="D34" i="1"/>
  <c r="E34" i="1" s="1"/>
  <c r="I34" i="1" s="1"/>
  <c r="D35" i="1"/>
  <c r="E35" i="1" s="1"/>
  <c r="H35" i="1" s="1"/>
  <c r="D36" i="1"/>
  <c r="E36" i="1" s="1"/>
  <c r="M36" i="1" s="1"/>
  <c r="D37" i="1"/>
  <c r="E37" i="1" s="1"/>
  <c r="H37" i="1" s="1"/>
  <c r="D38" i="1"/>
  <c r="E38" i="1" s="1"/>
  <c r="D39" i="1"/>
  <c r="D40" i="1"/>
  <c r="E40" i="1" s="1"/>
  <c r="D41" i="1"/>
  <c r="E41" i="1" s="1"/>
  <c r="H41" i="1" s="1"/>
  <c r="D2" i="1"/>
  <c r="E2" i="1" s="1"/>
  <c r="E4" i="1"/>
  <c r="H4" i="1" s="1"/>
  <c r="E3" i="1"/>
  <c r="H3" i="1" s="1"/>
  <c r="E15" i="1"/>
  <c r="H15" i="1" s="1"/>
  <c r="E27" i="1"/>
  <c r="H27" i="1" s="1"/>
  <c r="E39" i="1"/>
  <c r="H39" i="1" s="1"/>
  <c r="F38" i="1" l="1"/>
  <c r="H38" i="1"/>
  <c r="I38" i="1"/>
  <c r="L38" i="1"/>
  <c r="F14" i="1"/>
  <c r="I14" i="1"/>
  <c r="J14" i="1"/>
  <c r="K14" i="1"/>
  <c r="H23" i="1"/>
  <c r="F23" i="1"/>
  <c r="I22" i="1"/>
  <c r="G22" i="1"/>
  <c r="F22" i="1"/>
  <c r="F26" i="1"/>
  <c r="H26" i="1"/>
  <c r="I26" i="1"/>
  <c r="H24" i="1"/>
  <c r="F24" i="1"/>
  <c r="F40" i="1"/>
  <c r="K40" i="1"/>
  <c r="G40" i="1"/>
  <c r="H28" i="1"/>
  <c r="K28" i="1"/>
  <c r="G28" i="1"/>
  <c r="F16" i="1"/>
  <c r="G16" i="1"/>
  <c r="J16" i="1"/>
  <c r="G39" i="1"/>
  <c r="K2" i="1"/>
  <c r="J2" i="1"/>
  <c r="H2" i="1"/>
  <c r="G12" i="1"/>
  <c r="G11" i="1"/>
  <c r="L36" i="1"/>
  <c r="M23" i="1"/>
  <c r="G10" i="1"/>
  <c r="M34" i="1"/>
  <c r="L23" i="1"/>
  <c r="M11" i="1"/>
  <c r="G38" i="1"/>
  <c r="L34" i="1"/>
  <c r="M22" i="1"/>
  <c r="L11" i="1"/>
  <c r="G35" i="1"/>
  <c r="I2" i="1"/>
  <c r="K34" i="1"/>
  <c r="L22" i="1"/>
  <c r="M10" i="1"/>
  <c r="L24" i="1"/>
  <c r="G34" i="1"/>
  <c r="I10" i="1"/>
  <c r="G27" i="1"/>
  <c r="J40" i="1"/>
  <c r="J28" i="1"/>
  <c r="M16" i="1"/>
  <c r="H10" i="1"/>
  <c r="K22" i="1"/>
  <c r="G26" i="1"/>
  <c r="I40" i="1"/>
  <c r="K26" i="1"/>
  <c r="L16" i="1"/>
  <c r="M4" i="1"/>
  <c r="H34" i="1"/>
  <c r="J10" i="1"/>
  <c r="H22" i="1"/>
  <c r="G23" i="1"/>
  <c r="M38" i="1"/>
  <c r="J26" i="1"/>
  <c r="K16" i="1"/>
  <c r="L4" i="1"/>
  <c r="M6" i="1"/>
  <c r="G13" i="1"/>
  <c r="K36" i="1"/>
  <c r="M30" i="1"/>
  <c r="L12" i="1"/>
  <c r="G4" i="1"/>
  <c r="K30" i="1"/>
  <c r="M25" i="1"/>
  <c r="I16" i="1"/>
  <c r="J12" i="1"/>
  <c r="F11" i="1"/>
  <c r="G25" i="1"/>
  <c r="G3" i="1"/>
  <c r="K38" i="1"/>
  <c r="M35" i="1"/>
  <c r="M28" i="1"/>
  <c r="L25" i="1"/>
  <c r="J22" i="1"/>
  <c r="M14" i="1"/>
  <c r="I12" i="1"/>
  <c r="L6" i="1"/>
  <c r="L13" i="1"/>
  <c r="M32" i="1"/>
  <c r="M12" i="1"/>
  <c r="J36" i="1"/>
  <c r="F13" i="1"/>
  <c r="I36" i="1"/>
  <c r="L30" i="1"/>
  <c r="K12" i="1"/>
  <c r="M8" i="1"/>
  <c r="F12" i="1"/>
  <c r="H36" i="1"/>
  <c r="F10" i="1"/>
  <c r="G24" i="1"/>
  <c r="G2" i="1"/>
  <c r="J38" i="1"/>
  <c r="L35" i="1"/>
  <c r="L28" i="1"/>
  <c r="M24" i="1"/>
  <c r="L14" i="1"/>
  <c r="K6" i="1"/>
  <c r="F36" i="1"/>
  <c r="M37" i="1"/>
  <c r="I28" i="1"/>
  <c r="J24" i="1"/>
  <c r="M18" i="1"/>
  <c r="K4" i="1"/>
  <c r="F34" i="1"/>
  <c r="G37" i="1"/>
  <c r="G15" i="1"/>
  <c r="M40" i="1"/>
  <c r="L37" i="1"/>
  <c r="J34" i="1"/>
  <c r="M26" i="1"/>
  <c r="I24" i="1"/>
  <c r="L18" i="1"/>
  <c r="H14" i="1"/>
  <c r="L10" i="1"/>
  <c r="J4" i="1"/>
  <c r="F37" i="1"/>
  <c r="K24" i="1"/>
  <c r="M20" i="1"/>
  <c r="F35" i="1"/>
  <c r="F25" i="1"/>
  <c r="G36" i="1"/>
  <c r="G14" i="1"/>
  <c r="L40" i="1"/>
  <c r="L26" i="1"/>
  <c r="K18" i="1"/>
  <c r="M13" i="1"/>
  <c r="I4" i="1"/>
  <c r="L20" i="1"/>
  <c r="J6" i="1"/>
  <c r="M3" i="1"/>
  <c r="K8" i="1"/>
  <c r="J20" i="1"/>
  <c r="F33" i="1"/>
  <c r="I18" i="1"/>
  <c r="I8" i="1"/>
  <c r="F20" i="1"/>
  <c r="H30" i="1"/>
  <c r="H6" i="1"/>
  <c r="F7" i="1"/>
  <c r="M39" i="1"/>
  <c r="M31" i="1"/>
  <c r="M5" i="1"/>
  <c r="F18" i="1"/>
  <c r="G21" i="1"/>
  <c r="L39" i="1"/>
  <c r="L31" i="1"/>
  <c r="L19" i="1"/>
  <c r="L15" i="1"/>
  <c r="L3" i="1"/>
  <c r="F41" i="1"/>
  <c r="F29" i="1"/>
  <c r="F17" i="1"/>
  <c r="F5" i="1"/>
  <c r="G32" i="1"/>
  <c r="G20" i="1"/>
  <c r="G8" i="1"/>
  <c r="K41" i="1"/>
  <c r="K39" i="1"/>
  <c r="K37" i="1"/>
  <c r="K35" i="1"/>
  <c r="K33" i="1"/>
  <c r="K31" i="1"/>
  <c r="K29" i="1"/>
  <c r="K27" i="1"/>
  <c r="K25" i="1"/>
  <c r="K23" i="1"/>
  <c r="K21" i="1"/>
  <c r="K19" i="1"/>
  <c r="K17" i="1"/>
  <c r="K15" i="1"/>
  <c r="K13" i="1"/>
  <c r="K11" i="1"/>
  <c r="K9" i="1"/>
  <c r="K7" i="1"/>
  <c r="K5" i="1"/>
  <c r="K3" i="1"/>
  <c r="J18" i="1"/>
  <c r="J8" i="1"/>
  <c r="F9" i="1"/>
  <c r="I30" i="1"/>
  <c r="H40" i="1"/>
  <c r="H32" i="1"/>
  <c r="H16" i="1"/>
  <c r="H8" i="1"/>
  <c r="M41" i="1"/>
  <c r="M33" i="1"/>
  <c r="M27" i="1"/>
  <c r="M21" i="1"/>
  <c r="M17" i="1"/>
  <c r="M9" i="1"/>
  <c r="F30" i="1"/>
  <c r="G9" i="1"/>
  <c r="L33" i="1"/>
  <c r="L7" i="1"/>
  <c r="F28" i="1"/>
  <c r="F4" i="1"/>
  <c r="G31" i="1"/>
  <c r="G19" i="1"/>
  <c r="G7" i="1"/>
  <c r="J41" i="1"/>
  <c r="J39" i="1"/>
  <c r="J37" i="1"/>
  <c r="J35" i="1"/>
  <c r="J33" i="1"/>
  <c r="J31" i="1"/>
  <c r="J29" i="1"/>
  <c r="J27" i="1"/>
  <c r="J25" i="1"/>
  <c r="J23" i="1"/>
  <c r="J21" i="1"/>
  <c r="J19" i="1"/>
  <c r="J17" i="1"/>
  <c r="J15" i="1"/>
  <c r="J13" i="1"/>
  <c r="J11" i="1"/>
  <c r="J9" i="1"/>
  <c r="J7" i="1"/>
  <c r="J5" i="1"/>
  <c r="J3" i="1"/>
  <c r="K20" i="1"/>
  <c r="J32" i="1"/>
  <c r="I20" i="1"/>
  <c r="I6" i="1"/>
  <c r="F8" i="1"/>
  <c r="F31" i="1"/>
  <c r="M29" i="1"/>
  <c r="G33" i="1"/>
  <c r="L27" i="1"/>
  <c r="L21" i="1"/>
  <c r="L17" i="1"/>
  <c r="L5" i="1"/>
  <c r="F39" i="1"/>
  <c r="F27" i="1"/>
  <c r="F15" i="1"/>
  <c r="F3" i="1"/>
  <c r="G30" i="1"/>
  <c r="G18" i="1"/>
  <c r="G6" i="1"/>
  <c r="I41" i="1"/>
  <c r="I39" i="1"/>
  <c r="I37" i="1"/>
  <c r="I35" i="1"/>
  <c r="I33" i="1"/>
  <c r="I31" i="1"/>
  <c r="I29" i="1"/>
  <c r="I27" i="1"/>
  <c r="I25" i="1"/>
  <c r="I23" i="1"/>
  <c r="I21" i="1"/>
  <c r="I19" i="1"/>
  <c r="I17" i="1"/>
  <c r="I15" i="1"/>
  <c r="I13" i="1"/>
  <c r="I11" i="1"/>
  <c r="I9" i="1"/>
  <c r="I7" i="1"/>
  <c r="I5" i="1"/>
  <c r="I3" i="1"/>
  <c r="L32" i="1"/>
  <c r="K32" i="1"/>
  <c r="F21" i="1"/>
  <c r="I32" i="1"/>
  <c r="F19" i="1"/>
  <c r="M19" i="1"/>
  <c r="M15" i="1"/>
  <c r="M7" i="1"/>
  <c r="L41" i="1"/>
  <c r="L29" i="1"/>
  <c r="L9" i="1"/>
  <c r="G41" i="1"/>
  <c r="G29" i="1"/>
  <c r="G17" i="1"/>
  <c r="G5" i="1"/>
  <c r="M2" i="1"/>
  <c r="F2" i="1"/>
  <c r="L2" i="1"/>
</calcChain>
</file>

<file path=xl/sharedStrings.xml><?xml version="1.0" encoding="utf-8"?>
<sst xmlns="http://schemas.openxmlformats.org/spreadsheetml/2006/main" count="19" uniqueCount="12">
  <si>
    <t>Friday</t>
  </si>
  <si>
    <t>Sunday</t>
  </si>
  <si>
    <t>Monday</t>
  </si>
  <si>
    <t>Tuesday</t>
  </si>
  <si>
    <t>Wednesday</t>
  </si>
  <si>
    <t>Thursday</t>
  </si>
  <si>
    <t>Saturday</t>
  </si>
  <si>
    <t>Weekday</t>
  </si>
  <si>
    <t>Workingday</t>
  </si>
  <si>
    <t>day</t>
  </si>
  <si>
    <t>month</t>
  </si>
  <si>
    <t>year0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</si>
</sst>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254CB-58C6-4943-8368-9E8E166A1F59}">
  <dimension ref="A2:B8"/>
  <sheetViews>
    <sheetView workbookViewId="0">
      <selection activeCell="D2" sqref="D2"/>
    </sheetView>
  </sheetViews>
  <sheetFormatPr baseColWidth="10" defaultRowHeight="15" x14ac:dyDescent="0.25"/>
  <sheetData>
    <row r="2" spans="1:2" x14ac:dyDescent="0.25">
      <c r="A2">
        <v>1</v>
      </c>
      <c r="B2" t="s">
        <v>1</v>
      </c>
    </row>
    <row r="3" spans="1:2" x14ac:dyDescent="0.25">
      <c r="A3">
        <v>2</v>
      </c>
      <c r="B3" t="s">
        <v>2</v>
      </c>
    </row>
    <row r="4" spans="1:2" x14ac:dyDescent="0.25">
      <c r="A4">
        <v>3</v>
      </c>
      <c r="B4" t="s">
        <v>3</v>
      </c>
    </row>
    <row r="5" spans="1:2" x14ac:dyDescent="0.25">
      <c r="A5">
        <v>4</v>
      </c>
      <c r="B5" t="s">
        <v>4</v>
      </c>
    </row>
    <row r="6" spans="1:2" x14ac:dyDescent="0.25">
      <c r="A6">
        <v>5</v>
      </c>
      <c r="B6" t="s">
        <v>5</v>
      </c>
    </row>
    <row r="7" spans="1:2" x14ac:dyDescent="0.25">
      <c r="A7">
        <v>6</v>
      </c>
      <c r="B7" t="s">
        <v>0</v>
      </c>
    </row>
    <row r="8" spans="1:2" x14ac:dyDescent="0.25">
      <c r="A8">
        <v>7</v>
      </c>
      <c r="B8" t="s">
        <v>6</v>
      </c>
    </row>
  </sheetData>
  <phoneticPr fontId="1" type="noConversion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C8086-02F9-44C4-8F06-24F949A45A0D}">
  <dimension ref="A1:M41"/>
  <sheetViews>
    <sheetView tabSelected="1" workbookViewId="0">
      <selection activeCell="O19" sqref="O19"/>
    </sheetView>
  </sheetViews>
  <sheetFormatPr baseColWidth="10" defaultRowHeight="15" x14ac:dyDescent="0.25"/>
  <sheetData>
    <row r="1" spans="1:13" x14ac:dyDescent="0.25">
      <c r="E1" t="s">
        <v>7</v>
      </c>
      <c r="F1" t="s">
        <v>8</v>
      </c>
      <c r="G1" t="s">
        <v>2</v>
      </c>
      <c r="H1" t="s">
        <v>3</v>
      </c>
      <c r="I1" t="s">
        <v>4</v>
      </c>
      <c r="J1" t="s">
        <v>5</v>
      </c>
      <c r="K1" t="s">
        <v>0</v>
      </c>
      <c r="L1" t="s">
        <v>6</v>
      </c>
      <c r="M1" t="s">
        <v>1</v>
      </c>
    </row>
    <row r="2" spans="1:13" x14ac:dyDescent="0.25">
      <c r="A2" t="s">
        <v>9</v>
      </c>
      <c r="B2">
        <v>16</v>
      </c>
      <c r="C2">
        <v>0</v>
      </c>
      <c r="D2" s="1">
        <f>DATE($B$4+C2,$B$3,$B$2)</f>
        <v>33435</v>
      </c>
      <c r="E2">
        <f t="shared" ref="E2:E40" si="0">WEEKDAY(D2)</f>
        <v>3</v>
      </c>
      <c r="F2">
        <f>IF(AND(E2&gt;1,E2&lt;7),1,0)</f>
        <v>1</v>
      </c>
      <c r="G2">
        <f>IF(E2=2,1,0)</f>
        <v>0</v>
      </c>
      <c r="H2">
        <f>IF(E2=3,1,0)</f>
        <v>1</v>
      </c>
      <c r="I2">
        <f>IF(E2=4,1,0)</f>
        <v>0</v>
      </c>
      <c r="J2">
        <f>IF(E2=5,1,0)</f>
        <v>0</v>
      </c>
      <c r="K2">
        <f>IF(E2=6,1,0)</f>
        <v>0</v>
      </c>
      <c r="L2">
        <f>IF(E2=7,1,0)</f>
        <v>0</v>
      </c>
      <c r="M2">
        <f>IF(E2=1,1,0)</f>
        <v>0</v>
      </c>
    </row>
    <row r="3" spans="1:13" x14ac:dyDescent="0.25">
      <c r="A3" t="s">
        <v>10</v>
      </c>
      <c r="B3">
        <v>7</v>
      </c>
      <c r="C3">
        <v>1</v>
      </c>
      <c r="D3" s="1">
        <f t="shared" ref="D3:D41" si="1">DATE($B$4+C3,$B$3,$B$2)</f>
        <v>33801</v>
      </c>
      <c r="E3">
        <f t="shared" si="0"/>
        <v>5</v>
      </c>
      <c r="F3">
        <f t="shared" ref="F3:F41" si="2">IF(AND(E3&gt;1,E3&lt;7),1,0)</f>
        <v>1</v>
      </c>
      <c r="G3">
        <f t="shared" ref="G3:G41" si="3">IF(E3=2,1,0)</f>
        <v>0</v>
      </c>
      <c r="H3">
        <f t="shared" ref="H3:H41" si="4">IF(E3=3,1,0)</f>
        <v>0</v>
      </c>
      <c r="I3">
        <f t="shared" ref="I3:I41" si="5">IF(E3=4,1,0)</f>
        <v>0</v>
      </c>
      <c r="J3">
        <f t="shared" ref="J3:J41" si="6">IF(E3=5,1,0)</f>
        <v>1</v>
      </c>
      <c r="K3">
        <f t="shared" ref="K3:K41" si="7">IF(E3=6,1,0)</f>
        <v>0</v>
      </c>
      <c r="L3">
        <f t="shared" ref="L3:L41" si="8">IF(E3=7,1,0)</f>
        <v>0</v>
      </c>
      <c r="M3">
        <f t="shared" ref="M3:M41" si="9">IF(E3=1,1,0)</f>
        <v>0</v>
      </c>
    </row>
    <row r="4" spans="1:13" x14ac:dyDescent="0.25">
      <c r="A4" t="s">
        <v>11</v>
      </c>
      <c r="B4">
        <v>1991</v>
      </c>
      <c r="C4">
        <v>2</v>
      </c>
      <c r="D4" s="1">
        <f t="shared" si="1"/>
        <v>34166</v>
      </c>
      <c r="E4">
        <f t="shared" si="0"/>
        <v>6</v>
      </c>
      <c r="F4">
        <f t="shared" si="2"/>
        <v>1</v>
      </c>
      <c r="G4">
        <f t="shared" si="3"/>
        <v>0</v>
      </c>
      <c r="H4">
        <f t="shared" si="4"/>
        <v>0</v>
      </c>
      <c r="I4">
        <f t="shared" si="5"/>
        <v>0</v>
      </c>
      <c r="J4">
        <f t="shared" si="6"/>
        <v>0</v>
      </c>
      <c r="K4">
        <f t="shared" si="7"/>
        <v>1</v>
      </c>
      <c r="L4">
        <f t="shared" si="8"/>
        <v>0</v>
      </c>
      <c r="M4">
        <f t="shared" si="9"/>
        <v>0</v>
      </c>
    </row>
    <row r="5" spans="1:13" x14ac:dyDescent="0.25">
      <c r="C5">
        <v>3</v>
      </c>
      <c r="D5" s="1">
        <f t="shared" si="1"/>
        <v>34531</v>
      </c>
      <c r="E5">
        <f t="shared" si="0"/>
        <v>7</v>
      </c>
      <c r="F5">
        <f t="shared" si="2"/>
        <v>0</v>
      </c>
      <c r="G5">
        <f t="shared" si="3"/>
        <v>0</v>
      </c>
      <c r="H5">
        <f t="shared" si="4"/>
        <v>0</v>
      </c>
      <c r="I5">
        <f t="shared" si="5"/>
        <v>0</v>
      </c>
      <c r="J5">
        <f t="shared" si="6"/>
        <v>0</v>
      </c>
      <c r="K5">
        <f t="shared" si="7"/>
        <v>0</v>
      </c>
      <c r="L5">
        <f t="shared" si="8"/>
        <v>1</v>
      </c>
      <c r="M5">
        <f t="shared" si="9"/>
        <v>0</v>
      </c>
    </row>
    <row r="6" spans="1:13" x14ac:dyDescent="0.25">
      <c r="C6">
        <v>4</v>
      </c>
      <c r="D6" s="1">
        <f t="shared" si="1"/>
        <v>34896</v>
      </c>
      <c r="E6">
        <f t="shared" si="0"/>
        <v>1</v>
      </c>
      <c r="F6">
        <f t="shared" si="2"/>
        <v>0</v>
      </c>
      <c r="G6">
        <f t="shared" si="3"/>
        <v>0</v>
      </c>
      <c r="H6">
        <f t="shared" si="4"/>
        <v>0</v>
      </c>
      <c r="I6">
        <f t="shared" si="5"/>
        <v>0</v>
      </c>
      <c r="J6">
        <f t="shared" si="6"/>
        <v>0</v>
      </c>
      <c r="K6">
        <f t="shared" si="7"/>
        <v>0</v>
      </c>
      <c r="L6">
        <f t="shared" si="8"/>
        <v>0</v>
      </c>
      <c r="M6">
        <f t="shared" si="9"/>
        <v>1</v>
      </c>
    </row>
    <row r="7" spans="1:13" x14ac:dyDescent="0.25">
      <c r="C7">
        <v>5</v>
      </c>
      <c r="D7" s="1">
        <f t="shared" si="1"/>
        <v>35262</v>
      </c>
      <c r="E7">
        <f t="shared" si="0"/>
        <v>3</v>
      </c>
      <c r="F7">
        <f t="shared" si="2"/>
        <v>1</v>
      </c>
      <c r="G7">
        <f t="shared" si="3"/>
        <v>0</v>
      </c>
      <c r="H7">
        <f t="shared" si="4"/>
        <v>1</v>
      </c>
      <c r="I7">
        <f t="shared" si="5"/>
        <v>0</v>
      </c>
      <c r="J7">
        <f t="shared" si="6"/>
        <v>0</v>
      </c>
      <c r="K7">
        <f t="shared" si="7"/>
        <v>0</v>
      </c>
      <c r="L7">
        <f t="shared" si="8"/>
        <v>0</v>
      </c>
      <c r="M7">
        <f t="shared" si="9"/>
        <v>0</v>
      </c>
    </row>
    <row r="8" spans="1:13" x14ac:dyDescent="0.25">
      <c r="C8">
        <v>6</v>
      </c>
      <c r="D8" s="1">
        <f t="shared" si="1"/>
        <v>35627</v>
      </c>
      <c r="E8">
        <f t="shared" si="0"/>
        <v>4</v>
      </c>
      <c r="F8">
        <f t="shared" si="2"/>
        <v>1</v>
      </c>
      <c r="G8">
        <f t="shared" si="3"/>
        <v>0</v>
      </c>
      <c r="H8">
        <f t="shared" si="4"/>
        <v>0</v>
      </c>
      <c r="I8">
        <f t="shared" si="5"/>
        <v>1</v>
      </c>
      <c r="J8">
        <f t="shared" si="6"/>
        <v>0</v>
      </c>
      <c r="K8">
        <f t="shared" si="7"/>
        <v>0</v>
      </c>
      <c r="L8">
        <f t="shared" si="8"/>
        <v>0</v>
      </c>
      <c r="M8">
        <f t="shared" si="9"/>
        <v>0</v>
      </c>
    </row>
    <row r="9" spans="1:13" x14ac:dyDescent="0.25">
      <c r="C9">
        <v>7</v>
      </c>
      <c r="D9" s="1">
        <f t="shared" si="1"/>
        <v>35992</v>
      </c>
      <c r="E9">
        <f t="shared" si="0"/>
        <v>5</v>
      </c>
      <c r="F9">
        <f t="shared" si="2"/>
        <v>1</v>
      </c>
      <c r="G9">
        <f t="shared" si="3"/>
        <v>0</v>
      </c>
      <c r="H9">
        <f t="shared" si="4"/>
        <v>0</v>
      </c>
      <c r="I9">
        <f t="shared" si="5"/>
        <v>0</v>
      </c>
      <c r="J9">
        <f t="shared" si="6"/>
        <v>1</v>
      </c>
      <c r="K9">
        <f t="shared" si="7"/>
        <v>0</v>
      </c>
      <c r="L9">
        <f t="shared" si="8"/>
        <v>0</v>
      </c>
      <c r="M9">
        <f t="shared" si="9"/>
        <v>0</v>
      </c>
    </row>
    <row r="10" spans="1:13" x14ac:dyDescent="0.25">
      <c r="C10">
        <v>8</v>
      </c>
      <c r="D10" s="1">
        <f t="shared" si="1"/>
        <v>36357</v>
      </c>
      <c r="E10">
        <f t="shared" si="0"/>
        <v>6</v>
      </c>
      <c r="F10">
        <f t="shared" si="2"/>
        <v>1</v>
      </c>
      <c r="G10">
        <f t="shared" si="3"/>
        <v>0</v>
      </c>
      <c r="H10">
        <f t="shared" si="4"/>
        <v>0</v>
      </c>
      <c r="I10">
        <f t="shared" si="5"/>
        <v>0</v>
      </c>
      <c r="J10">
        <f t="shared" si="6"/>
        <v>0</v>
      </c>
      <c r="K10">
        <f t="shared" si="7"/>
        <v>1</v>
      </c>
      <c r="L10">
        <f t="shared" si="8"/>
        <v>0</v>
      </c>
      <c r="M10">
        <f t="shared" si="9"/>
        <v>0</v>
      </c>
    </row>
    <row r="11" spans="1:13" x14ac:dyDescent="0.25">
      <c r="C11">
        <v>9</v>
      </c>
      <c r="D11" s="1">
        <f t="shared" si="1"/>
        <v>36723</v>
      </c>
      <c r="E11">
        <f t="shared" si="0"/>
        <v>1</v>
      </c>
      <c r="F11">
        <f t="shared" si="2"/>
        <v>0</v>
      </c>
      <c r="G11">
        <f t="shared" si="3"/>
        <v>0</v>
      </c>
      <c r="H11">
        <f t="shared" si="4"/>
        <v>0</v>
      </c>
      <c r="I11">
        <f t="shared" si="5"/>
        <v>0</v>
      </c>
      <c r="J11">
        <f t="shared" si="6"/>
        <v>0</v>
      </c>
      <c r="K11">
        <f t="shared" si="7"/>
        <v>0</v>
      </c>
      <c r="L11">
        <f t="shared" si="8"/>
        <v>0</v>
      </c>
      <c r="M11">
        <f t="shared" si="9"/>
        <v>1</v>
      </c>
    </row>
    <row r="12" spans="1:13" x14ac:dyDescent="0.25">
      <c r="C12">
        <v>10</v>
      </c>
      <c r="D12" s="1">
        <f t="shared" si="1"/>
        <v>37088</v>
      </c>
      <c r="E12">
        <f t="shared" si="0"/>
        <v>2</v>
      </c>
      <c r="F12">
        <f t="shared" si="2"/>
        <v>1</v>
      </c>
      <c r="G12">
        <f t="shared" si="3"/>
        <v>1</v>
      </c>
      <c r="H12">
        <f t="shared" si="4"/>
        <v>0</v>
      </c>
      <c r="I12">
        <f t="shared" si="5"/>
        <v>0</v>
      </c>
      <c r="J12">
        <f t="shared" si="6"/>
        <v>0</v>
      </c>
      <c r="K12">
        <f t="shared" si="7"/>
        <v>0</v>
      </c>
      <c r="L12">
        <f t="shared" si="8"/>
        <v>0</v>
      </c>
      <c r="M12">
        <f t="shared" si="9"/>
        <v>0</v>
      </c>
    </row>
    <row r="13" spans="1:13" x14ac:dyDescent="0.25">
      <c r="C13">
        <v>11</v>
      </c>
      <c r="D13" s="1">
        <f t="shared" si="1"/>
        <v>37453</v>
      </c>
      <c r="E13">
        <f t="shared" si="0"/>
        <v>3</v>
      </c>
      <c r="F13">
        <f t="shared" si="2"/>
        <v>1</v>
      </c>
      <c r="G13">
        <f t="shared" si="3"/>
        <v>0</v>
      </c>
      <c r="H13">
        <f t="shared" si="4"/>
        <v>1</v>
      </c>
      <c r="I13">
        <f t="shared" si="5"/>
        <v>0</v>
      </c>
      <c r="J13">
        <f t="shared" si="6"/>
        <v>0</v>
      </c>
      <c r="K13">
        <f t="shared" si="7"/>
        <v>0</v>
      </c>
      <c r="L13">
        <f t="shared" si="8"/>
        <v>0</v>
      </c>
      <c r="M13">
        <f t="shared" si="9"/>
        <v>0</v>
      </c>
    </row>
    <row r="14" spans="1:13" x14ac:dyDescent="0.25">
      <c r="C14">
        <v>12</v>
      </c>
      <c r="D14" s="1">
        <f t="shared" si="1"/>
        <v>37818</v>
      </c>
      <c r="E14">
        <f t="shared" si="0"/>
        <v>4</v>
      </c>
      <c r="F14">
        <f t="shared" si="2"/>
        <v>1</v>
      </c>
      <c r="G14">
        <f t="shared" si="3"/>
        <v>0</v>
      </c>
      <c r="H14">
        <f t="shared" si="4"/>
        <v>0</v>
      </c>
      <c r="I14">
        <f t="shared" si="5"/>
        <v>1</v>
      </c>
      <c r="J14">
        <f t="shared" si="6"/>
        <v>0</v>
      </c>
      <c r="K14">
        <f t="shared" si="7"/>
        <v>0</v>
      </c>
      <c r="L14">
        <f t="shared" si="8"/>
        <v>0</v>
      </c>
      <c r="M14">
        <f t="shared" si="9"/>
        <v>0</v>
      </c>
    </row>
    <row r="15" spans="1:13" x14ac:dyDescent="0.25">
      <c r="C15">
        <v>13</v>
      </c>
      <c r="D15" s="1">
        <f t="shared" si="1"/>
        <v>38184</v>
      </c>
      <c r="E15">
        <f t="shared" si="0"/>
        <v>6</v>
      </c>
      <c r="F15">
        <f t="shared" si="2"/>
        <v>1</v>
      </c>
      <c r="G15">
        <f t="shared" si="3"/>
        <v>0</v>
      </c>
      <c r="H15">
        <f t="shared" si="4"/>
        <v>0</v>
      </c>
      <c r="I15">
        <f t="shared" si="5"/>
        <v>0</v>
      </c>
      <c r="J15">
        <f t="shared" si="6"/>
        <v>0</v>
      </c>
      <c r="K15">
        <f t="shared" si="7"/>
        <v>1</v>
      </c>
      <c r="L15">
        <f t="shared" si="8"/>
        <v>0</v>
      </c>
      <c r="M15">
        <f t="shared" si="9"/>
        <v>0</v>
      </c>
    </row>
    <row r="16" spans="1:13" x14ac:dyDescent="0.25">
      <c r="C16">
        <v>14</v>
      </c>
      <c r="D16" s="1">
        <f t="shared" si="1"/>
        <v>38549</v>
      </c>
      <c r="E16">
        <f t="shared" si="0"/>
        <v>7</v>
      </c>
      <c r="F16">
        <f t="shared" si="2"/>
        <v>0</v>
      </c>
      <c r="G16">
        <f t="shared" si="3"/>
        <v>0</v>
      </c>
      <c r="H16">
        <f t="shared" si="4"/>
        <v>0</v>
      </c>
      <c r="I16">
        <f t="shared" si="5"/>
        <v>0</v>
      </c>
      <c r="J16">
        <f t="shared" si="6"/>
        <v>0</v>
      </c>
      <c r="K16">
        <f t="shared" si="7"/>
        <v>0</v>
      </c>
      <c r="L16">
        <f t="shared" si="8"/>
        <v>1</v>
      </c>
      <c r="M16">
        <f t="shared" si="9"/>
        <v>0</v>
      </c>
    </row>
    <row r="17" spans="3:13" x14ac:dyDescent="0.25">
      <c r="C17">
        <v>15</v>
      </c>
      <c r="D17" s="1">
        <f t="shared" si="1"/>
        <v>38914</v>
      </c>
      <c r="E17">
        <f t="shared" si="0"/>
        <v>1</v>
      </c>
      <c r="F17">
        <f t="shared" si="2"/>
        <v>0</v>
      </c>
      <c r="G17">
        <f t="shared" si="3"/>
        <v>0</v>
      </c>
      <c r="H17">
        <f t="shared" si="4"/>
        <v>0</v>
      </c>
      <c r="I17">
        <f t="shared" si="5"/>
        <v>0</v>
      </c>
      <c r="J17">
        <f t="shared" si="6"/>
        <v>0</v>
      </c>
      <c r="K17">
        <f t="shared" si="7"/>
        <v>0</v>
      </c>
      <c r="L17">
        <f t="shared" si="8"/>
        <v>0</v>
      </c>
      <c r="M17">
        <f t="shared" si="9"/>
        <v>1</v>
      </c>
    </row>
    <row r="18" spans="3:13" x14ac:dyDescent="0.25">
      <c r="C18">
        <v>16</v>
      </c>
      <c r="D18" s="1">
        <f t="shared" si="1"/>
        <v>39279</v>
      </c>
      <c r="E18">
        <f t="shared" si="0"/>
        <v>2</v>
      </c>
      <c r="F18">
        <f t="shared" si="2"/>
        <v>1</v>
      </c>
      <c r="G18">
        <f t="shared" si="3"/>
        <v>1</v>
      </c>
      <c r="H18">
        <f t="shared" si="4"/>
        <v>0</v>
      </c>
      <c r="I18">
        <f t="shared" si="5"/>
        <v>0</v>
      </c>
      <c r="J18">
        <f t="shared" si="6"/>
        <v>0</v>
      </c>
      <c r="K18">
        <f t="shared" si="7"/>
        <v>0</v>
      </c>
      <c r="L18">
        <f t="shared" si="8"/>
        <v>0</v>
      </c>
      <c r="M18">
        <f t="shared" si="9"/>
        <v>0</v>
      </c>
    </row>
    <row r="19" spans="3:13" x14ac:dyDescent="0.25">
      <c r="C19">
        <v>17</v>
      </c>
      <c r="D19" s="1">
        <f t="shared" si="1"/>
        <v>39645</v>
      </c>
      <c r="E19">
        <f t="shared" si="0"/>
        <v>4</v>
      </c>
      <c r="F19">
        <f t="shared" si="2"/>
        <v>1</v>
      </c>
      <c r="G19">
        <f t="shared" si="3"/>
        <v>0</v>
      </c>
      <c r="H19">
        <f t="shared" si="4"/>
        <v>0</v>
      </c>
      <c r="I19">
        <f t="shared" si="5"/>
        <v>1</v>
      </c>
      <c r="J19">
        <f t="shared" si="6"/>
        <v>0</v>
      </c>
      <c r="K19">
        <f t="shared" si="7"/>
        <v>0</v>
      </c>
      <c r="L19">
        <f t="shared" si="8"/>
        <v>0</v>
      </c>
      <c r="M19">
        <f t="shared" si="9"/>
        <v>0</v>
      </c>
    </row>
    <row r="20" spans="3:13" x14ac:dyDescent="0.25">
      <c r="C20">
        <v>18</v>
      </c>
      <c r="D20" s="1">
        <f t="shared" si="1"/>
        <v>40010</v>
      </c>
      <c r="E20">
        <f t="shared" si="0"/>
        <v>5</v>
      </c>
      <c r="F20">
        <f t="shared" si="2"/>
        <v>1</v>
      </c>
      <c r="G20">
        <f t="shared" si="3"/>
        <v>0</v>
      </c>
      <c r="H20">
        <f t="shared" si="4"/>
        <v>0</v>
      </c>
      <c r="I20">
        <f t="shared" si="5"/>
        <v>0</v>
      </c>
      <c r="J20">
        <f t="shared" si="6"/>
        <v>1</v>
      </c>
      <c r="K20">
        <f t="shared" si="7"/>
        <v>0</v>
      </c>
      <c r="L20">
        <f t="shared" si="8"/>
        <v>0</v>
      </c>
      <c r="M20">
        <f t="shared" si="9"/>
        <v>0</v>
      </c>
    </row>
    <row r="21" spans="3:13" x14ac:dyDescent="0.25">
      <c r="C21">
        <v>19</v>
      </c>
      <c r="D21" s="1">
        <f t="shared" si="1"/>
        <v>40375</v>
      </c>
      <c r="E21">
        <f t="shared" si="0"/>
        <v>6</v>
      </c>
      <c r="F21">
        <f t="shared" si="2"/>
        <v>1</v>
      </c>
      <c r="G21">
        <f t="shared" si="3"/>
        <v>0</v>
      </c>
      <c r="H21">
        <f t="shared" si="4"/>
        <v>0</v>
      </c>
      <c r="I21">
        <f t="shared" si="5"/>
        <v>0</v>
      </c>
      <c r="J21">
        <f t="shared" si="6"/>
        <v>0</v>
      </c>
      <c r="K21">
        <f t="shared" si="7"/>
        <v>1</v>
      </c>
      <c r="L21">
        <f t="shared" si="8"/>
        <v>0</v>
      </c>
      <c r="M21">
        <f t="shared" si="9"/>
        <v>0</v>
      </c>
    </row>
    <row r="22" spans="3:13" x14ac:dyDescent="0.25">
      <c r="C22">
        <v>20</v>
      </c>
      <c r="D22" s="1">
        <f t="shared" si="1"/>
        <v>40740</v>
      </c>
      <c r="E22">
        <f t="shared" si="0"/>
        <v>7</v>
      </c>
      <c r="F22">
        <f t="shared" si="2"/>
        <v>0</v>
      </c>
      <c r="G22">
        <f t="shared" si="3"/>
        <v>0</v>
      </c>
      <c r="H22">
        <f t="shared" si="4"/>
        <v>0</v>
      </c>
      <c r="I22">
        <f t="shared" si="5"/>
        <v>0</v>
      </c>
      <c r="J22">
        <f t="shared" si="6"/>
        <v>0</v>
      </c>
      <c r="K22">
        <f t="shared" si="7"/>
        <v>0</v>
      </c>
      <c r="L22">
        <f t="shared" si="8"/>
        <v>1</v>
      </c>
      <c r="M22">
        <f t="shared" si="9"/>
        <v>0</v>
      </c>
    </row>
    <row r="23" spans="3:13" x14ac:dyDescent="0.25">
      <c r="C23">
        <v>21</v>
      </c>
      <c r="D23" s="1">
        <f t="shared" si="1"/>
        <v>41106</v>
      </c>
      <c r="E23">
        <f t="shared" si="0"/>
        <v>2</v>
      </c>
      <c r="F23">
        <f t="shared" si="2"/>
        <v>1</v>
      </c>
      <c r="G23">
        <f t="shared" si="3"/>
        <v>1</v>
      </c>
      <c r="H23">
        <f t="shared" si="4"/>
        <v>0</v>
      </c>
      <c r="I23">
        <f t="shared" si="5"/>
        <v>0</v>
      </c>
      <c r="J23">
        <f t="shared" si="6"/>
        <v>0</v>
      </c>
      <c r="K23">
        <f t="shared" si="7"/>
        <v>0</v>
      </c>
      <c r="L23">
        <f t="shared" si="8"/>
        <v>0</v>
      </c>
      <c r="M23">
        <f t="shared" si="9"/>
        <v>0</v>
      </c>
    </row>
    <row r="24" spans="3:13" x14ac:dyDescent="0.25">
      <c r="C24">
        <v>22</v>
      </c>
      <c r="D24" s="1">
        <f t="shared" si="1"/>
        <v>41471</v>
      </c>
      <c r="E24">
        <f t="shared" si="0"/>
        <v>3</v>
      </c>
      <c r="F24">
        <f t="shared" si="2"/>
        <v>1</v>
      </c>
      <c r="G24">
        <f t="shared" si="3"/>
        <v>0</v>
      </c>
      <c r="H24">
        <f t="shared" si="4"/>
        <v>1</v>
      </c>
      <c r="I24">
        <f t="shared" si="5"/>
        <v>0</v>
      </c>
      <c r="J24">
        <f t="shared" si="6"/>
        <v>0</v>
      </c>
      <c r="K24">
        <f t="shared" si="7"/>
        <v>0</v>
      </c>
      <c r="L24">
        <f t="shared" si="8"/>
        <v>0</v>
      </c>
      <c r="M24">
        <f t="shared" si="9"/>
        <v>0</v>
      </c>
    </row>
    <row r="25" spans="3:13" x14ac:dyDescent="0.25">
      <c r="C25">
        <v>23</v>
      </c>
      <c r="D25" s="1">
        <f t="shared" si="1"/>
        <v>41836</v>
      </c>
      <c r="E25">
        <f t="shared" si="0"/>
        <v>4</v>
      </c>
      <c r="F25">
        <f t="shared" si="2"/>
        <v>1</v>
      </c>
      <c r="G25">
        <f t="shared" si="3"/>
        <v>0</v>
      </c>
      <c r="H25">
        <f t="shared" si="4"/>
        <v>0</v>
      </c>
      <c r="I25">
        <f t="shared" si="5"/>
        <v>1</v>
      </c>
      <c r="J25">
        <f t="shared" si="6"/>
        <v>0</v>
      </c>
      <c r="K25">
        <f t="shared" si="7"/>
        <v>0</v>
      </c>
      <c r="L25">
        <f t="shared" si="8"/>
        <v>0</v>
      </c>
      <c r="M25">
        <f t="shared" si="9"/>
        <v>0</v>
      </c>
    </row>
    <row r="26" spans="3:13" x14ac:dyDescent="0.25">
      <c r="C26">
        <v>24</v>
      </c>
      <c r="D26" s="1">
        <f t="shared" si="1"/>
        <v>42201</v>
      </c>
      <c r="E26">
        <f t="shared" si="0"/>
        <v>5</v>
      </c>
      <c r="F26">
        <f t="shared" si="2"/>
        <v>1</v>
      </c>
      <c r="G26">
        <f t="shared" si="3"/>
        <v>0</v>
      </c>
      <c r="H26">
        <f t="shared" si="4"/>
        <v>0</v>
      </c>
      <c r="I26">
        <f t="shared" si="5"/>
        <v>0</v>
      </c>
      <c r="J26">
        <f t="shared" si="6"/>
        <v>1</v>
      </c>
      <c r="K26">
        <f t="shared" si="7"/>
        <v>0</v>
      </c>
      <c r="L26">
        <f t="shared" si="8"/>
        <v>0</v>
      </c>
      <c r="M26">
        <f t="shared" si="9"/>
        <v>0</v>
      </c>
    </row>
    <row r="27" spans="3:13" x14ac:dyDescent="0.25">
      <c r="C27">
        <v>25</v>
      </c>
      <c r="D27" s="1">
        <f t="shared" si="1"/>
        <v>42567</v>
      </c>
      <c r="E27">
        <f t="shared" si="0"/>
        <v>7</v>
      </c>
      <c r="F27">
        <f t="shared" si="2"/>
        <v>0</v>
      </c>
      <c r="G27">
        <f t="shared" si="3"/>
        <v>0</v>
      </c>
      <c r="H27">
        <f t="shared" si="4"/>
        <v>0</v>
      </c>
      <c r="I27">
        <f t="shared" si="5"/>
        <v>0</v>
      </c>
      <c r="J27">
        <f t="shared" si="6"/>
        <v>0</v>
      </c>
      <c r="K27">
        <f t="shared" si="7"/>
        <v>0</v>
      </c>
      <c r="L27">
        <f t="shared" si="8"/>
        <v>1</v>
      </c>
      <c r="M27">
        <f t="shared" si="9"/>
        <v>0</v>
      </c>
    </row>
    <row r="28" spans="3:13" x14ac:dyDescent="0.25">
      <c r="C28">
        <v>26</v>
      </c>
      <c r="D28" s="1">
        <f t="shared" si="1"/>
        <v>42932</v>
      </c>
      <c r="E28">
        <f t="shared" si="0"/>
        <v>1</v>
      </c>
      <c r="F28">
        <f t="shared" si="2"/>
        <v>0</v>
      </c>
      <c r="G28">
        <f t="shared" si="3"/>
        <v>0</v>
      </c>
      <c r="H28">
        <f t="shared" si="4"/>
        <v>0</v>
      </c>
      <c r="I28">
        <f t="shared" si="5"/>
        <v>0</v>
      </c>
      <c r="J28">
        <f t="shared" si="6"/>
        <v>0</v>
      </c>
      <c r="K28">
        <f t="shared" si="7"/>
        <v>0</v>
      </c>
      <c r="L28">
        <f t="shared" si="8"/>
        <v>0</v>
      </c>
      <c r="M28">
        <f t="shared" si="9"/>
        <v>1</v>
      </c>
    </row>
    <row r="29" spans="3:13" x14ac:dyDescent="0.25">
      <c r="C29">
        <v>27</v>
      </c>
      <c r="D29" s="1">
        <f t="shared" si="1"/>
        <v>43297</v>
      </c>
      <c r="E29">
        <f t="shared" si="0"/>
        <v>2</v>
      </c>
      <c r="F29">
        <f t="shared" si="2"/>
        <v>1</v>
      </c>
      <c r="G29">
        <f t="shared" si="3"/>
        <v>1</v>
      </c>
      <c r="H29">
        <f t="shared" si="4"/>
        <v>0</v>
      </c>
      <c r="I29">
        <f t="shared" si="5"/>
        <v>0</v>
      </c>
      <c r="J29">
        <f t="shared" si="6"/>
        <v>0</v>
      </c>
      <c r="K29">
        <f t="shared" si="7"/>
        <v>0</v>
      </c>
      <c r="L29">
        <f t="shared" si="8"/>
        <v>0</v>
      </c>
      <c r="M29">
        <f t="shared" si="9"/>
        <v>0</v>
      </c>
    </row>
    <row r="30" spans="3:13" x14ac:dyDescent="0.25">
      <c r="C30">
        <v>28</v>
      </c>
      <c r="D30" s="1">
        <f t="shared" si="1"/>
        <v>43662</v>
      </c>
      <c r="E30">
        <f t="shared" si="0"/>
        <v>3</v>
      </c>
      <c r="F30">
        <f t="shared" si="2"/>
        <v>1</v>
      </c>
      <c r="G30">
        <f t="shared" si="3"/>
        <v>0</v>
      </c>
      <c r="H30">
        <f t="shared" si="4"/>
        <v>1</v>
      </c>
      <c r="I30">
        <f t="shared" si="5"/>
        <v>0</v>
      </c>
      <c r="J30">
        <f t="shared" si="6"/>
        <v>0</v>
      </c>
      <c r="K30">
        <f t="shared" si="7"/>
        <v>0</v>
      </c>
      <c r="L30">
        <f t="shared" si="8"/>
        <v>0</v>
      </c>
      <c r="M30">
        <f t="shared" si="9"/>
        <v>0</v>
      </c>
    </row>
    <row r="31" spans="3:13" x14ac:dyDescent="0.25">
      <c r="C31">
        <v>29</v>
      </c>
      <c r="D31" s="1">
        <f t="shared" si="1"/>
        <v>44028</v>
      </c>
      <c r="E31">
        <f t="shared" si="0"/>
        <v>5</v>
      </c>
      <c r="F31">
        <f t="shared" si="2"/>
        <v>1</v>
      </c>
      <c r="G31">
        <f t="shared" si="3"/>
        <v>0</v>
      </c>
      <c r="H31">
        <f t="shared" si="4"/>
        <v>0</v>
      </c>
      <c r="I31">
        <f t="shared" si="5"/>
        <v>0</v>
      </c>
      <c r="J31">
        <f t="shared" si="6"/>
        <v>1</v>
      </c>
      <c r="K31">
        <f t="shared" si="7"/>
        <v>0</v>
      </c>
      <c r="L31">
        <f t="shared" si="8"/>
        <v>0</v>
      </c>
      <c r="M31">
        <f t="shared" si="9"/>
        <v>0</v>
      </c>
    </row>
    <row r="32" spans="3:13" x14ac:dyDescent="0.25">
      <c r="C32">
        <v>30</v>
      </c>
      <c r="D32" s="1">
        <f t="shared" si="1"/>
        <v>44393</v>
      </c>
      <c r="E32">
        <f t="shared" si="0"/>
        <v>6</v>
      </c>
      <c r="F32">
        <f t="shared" si="2"/>
        <v>1</v>
      </c>
      <c r="G32">
        <f t="shared" si="3"/>
        <v>0</v>
      </c>
      <c r="H32">
        <f t="shared" si="4"/>
        <v>0</v>
      </c>
      <c r="I32">
        <f t="shared" si="5"/>
        <v>0</v>
      </c>
      <c r="J32">
        <f t="shared" si="6"/>
        <v>0</v>
      </c>
      <c r="K32">
        <f t="shared" si="7"/>
        <v>1</v>
      </c>
      <c r="L32">
        <f t="shared" si="8"/>
        <v>0</v>
      </c>
      <c r="M32">
        <f t="shared" si="9"/>
        <v>0</v>
      </c>
    </row>
    <row r="33" spans="3:13" x14ac:dyDescent="0.25">
      <c r="C33">
        <v>31</v>
      </c>
      <c r="D33" s="1">
        <f t="shared" si="1"/>
        <v>44758</v>
      </c>
      <c r="E33">
        <f t="shared" si="0"/>
        <v>7</v>
      </c>
      <c r="F33">
        <f t="shared" si="2"/>
        <v>0</v>
      </c>
      <c r="G33">
        <f t="shared" si="3"/>
        <v>0</v>
      </c>
      <c r="H33">
        <f t="shared" si="4"/>
        <v>0</v>
      </c>
      <c r="I33">
        <f t="shared" si="5"/>
        <v>0</v>
      </c>
      <c r="J33">
        <f t="shared" si="6"/>
        <v>0</v>
      </c>
      <c r="K33">
        <f t="shared" si="7"/>
        <v>0</v>
      </c>
      <c r="L33">
        <f t="shared" si="8"/>
        <v>1</v>
      </c>
      <c r="M33">
        <f t="shared" si="9"/>
        <v>0</v>
      </c>
    </row>
    <row r="34" spans="3:13" x14ac:dyDescent="0.25">
      <c r="C34">
        <v>32</v>
      </c>
      <c r="D34" s="1">
        <f t="shared" si="1"/>
        <v>45123</v>
      </c>
      <c r="E34">
        <f t="shared" si="0"/>
        <v>1</v>
      </c>
      <c r="F34">
        <f t="shared" si="2"/>
        <v>0</v>
      </c>
      <c r="G34">
        <f t="shared" si="3"/>
        <v>0</v>
      </c>
      <c r="H34">
        <f t="shared" si="4"/>
        <v>0</v>
      </c>
      <c r="I34">
        <f t="shared" si="5"/>
        <v>0</v>
      </c>
      <c r="J34">
        <f t="shared" si="6"/>
        <v>0</v>
      </c>
      <c r="K34">
        <f t="shared" si="7"/>
        <v>0</v>
      </c>
      <c r="L34">
        <f t="shared" si="8"/>
        <v>0</v>
      </c>
      <c r="M34">
        <f t="shared" si="9"/>
        <v>1</v>
      </c>
    </row>
    <row r="35" spans="3:13" x14ac:dyDescent="0.25">
      <c r="C35">
        <v>33</v>
      </c>
      <c r="D35" s="1">
        <f t="shared" si="1"/>
        <v>45489</v>
      </c>
      <c r="E35">
        <f t="shared" si="0"/>
        <v>3</v>
      </c>
      <c r="F35">
        <f t="shared" si="2"/>
        <v>1</v>
      </c>
      <c r="G35">
        <f t="shared" si="3"/>
        <v>0</v>
      </c>
      <c r="H35">
        <f t="shared" si="4"/>
        <v>1</v>
      </c>
      <c r="I35">
        <f t="shared" si="5"/>
        <v>0</v>
      </c>
      <c r="J35">
        <f t="shared" si="6"/>
        <v>0</v>
      </c>
      <c r="K35">
        <f t="shared" si="7"/>
        <v>0</v>
      </c>
      <c r="L35">
        <f t="shared" si="8"/>
        <v>0</v>
      </c>
      <c r="M35">
        <f t="shared" si="9"/>
        <v>0</v>
      </c>
    </row>
    <row r="36" spans="3:13" x14ac:dyDescent="0.25">
      <c r="C36">
        <v>34</v>
      </c>
      <c r="D36" s="1">
        <f t="shared" si="1"/>
        <v>45854</v>
      </c>
      <c r="E36">
        <f t="shared" si="0"/>
        <v>4</v>
      </c>
      <c r="F36">
        <f t="shared" si="2"/>
        <v>1</v>
      </c>
      <c r="G36">
        <f t="shared" si="3"/>
        <v>0</v>
      </c>
      <c r="H36">
        <f t="shared" si="4"/>
        <v>0</v>
      </c>
      <c r="I36">
        <f t="shared" si="5"/>
        <v>1</v>
      </c>
      <c r="J36">
        <f t="shared" si="6"/>
        <v>0</v>
      </c>
      <c r="K36">
        <f t="shared" si="7"/>
        <v>0</v>
      </c>
      <c r="L36">
        <f t="shared" si="8"/>
        <v>0</v>
      </c>
      <c r="M36">
        <f t="shared" si="9"/>
        <v>0</v>
      </c>
    </row>
    <row r="37" spans="3:13" x14ac:dyDescent="0.25">
      <c r="C37">
        <v>35</v>
      </c>
      <c r="D37" s="1">
        <f t="shared" si="1"/>
        <v>46219</v>
      </c>
      <c r="E37">
        <f t="shared" si="0"/>
        <v>5</v>
      </c>
      <c r="F37">
        <f t="shared" si="2"/>
        <v>1</v>
      </c>
      <c r="G37">
        <f t="shared" si="3"/>
        <v>0</v>
      </c>
      <c r="H37">
        <f t="shared" si="4"/>
        <v>0</v>
      </c>
      <c r="I37">
        <f t="shared" si="5"/>
        <v>0</v>
      </c>
      <c r="J37">
        <f t="shared" si="6"/>
        <v>1</v>
      </c>
      <c r="K37">
        <f t="shared" si="7"/>
        <v>0</v>
      </c>
      <c r="L37">
        <f t="shared" si="8"/>
        <v>0</v>
      </c>
      <c r="M37">
        <f t="shared" si="9"/>
        <v>0</v>
      </c>
    </row>
    <row r="38" spans="3:13" x14ac:dyDescent="0.25">
      <c r="C38">
        <v>36</v>
      </c>
      <c r="D38" s="1">
        <f t="shared" si="1"/>
        <v>46584</v>
      </c>
      <c r="E38">
        <f t="shared" si="0"/>
        <v>6</v>
      </c>
      <c r="F38">
        <f t="shared" si="2"/>
        <v>1</v>
      </c>
      <c r="G38">
        <f t="shared" si="3"/>
        <v>0</v>
      </c>
      <c r="H38">
        <f t="shared" si="4"/>
        <v>0</v>
      </c>
      <c r="I38">
        <f t="shared" si="5"/>
        <v>0</v>
      </c>
      <c r="J38">
        <f t="shared" si="6"/>
        <v>0</v>
      </c>
      <c r="K38">
        <f t="shared" si="7"/>
        <v>1</v>
      </c>
      <c r="L38">
        <f t="shared" si="8"/>
        <v>0</v>
      </c>
      <c r="M38">
        <f t="shared" si="9"/>
        <v>0</v>
      </c>
    </row>
    <row r="39" spans="3:13" x14ac:dyDescent="0.25">
      <c r="C39">
        <v>37</v>
      </c>
      <c r="D39" s="1">
        <f t="shared" si="1"/>
        <v>46950</v>
      </c>
      <c r="E39">
        <f t="shared" si="0"/>
        <v>1</v>
      </c>
      <c r="F39">
        <f t="shared" si="2"/>
        <v>0</v>
      </c>
      <c r="G39">
        <f t="shared" si="3"/>
        <v>0</v>
      </c>
      <c r="H39">
        <f t="shared" si="4"/>
        <v>0</v>
      </c>
      <c r="I39">
        <f t="shared" si="5"/>
        <v>0</v>
      </c>
      <c r="J39">
        <f t="shared" si="6"/>
        <v>0</v>
      </c>
      <c r="K39">
        <f t="shared" si="7"/>
        <v>0</v>
      </c>
      <c r="L39">
        <f t="shared" si="8"/>
        <v>0</v>
      </c>
      <c r="M39">
        <f t="shared" si="9"/>
        <v>1</v>
      </c>
    </row>
    <row r="40" spans="3:13" x14ac:dyDescent="0.25">
      <c r="C40">
        <v>38</v>
      </c>
      <c r="D40" s="1">
        <f t="shared" si="1"/>
        <v>47315</v>
      </c>
      <c r="E40">
        <f t="shared" si="0"/>
        <v>2</v>
      </c>
      <c r="F40">
        <f t="shared" si="2"/>
        <v>1</v>
      </c>
      <c r="G40">
        <f t="shared" si="3"/>
        <v>1</v>
      </c>
      <c r="H40">
        <f t="shared" si="4"/>
        <v>0</v>
      </c>
      <c r="I40">
        <f t="shared" si="5"/>
        <v>0</v>
      </c>
      <c r="J40">
        <f t="shared" si="6"/>
        <v>0</v>
      </c>
      <c r="K40">
        <f t="shared" si="7"/>
        <v>0</v>
      </c>
      <c r="L40">
        <f t="shared" si="8"/>
        <v>0</v>
      </c>
      <c r="M40">
        <f t="shared" si="9"/>
        <v>0</v>
      </c>
    </row>
    <row r="41" spans="3:13" x14ac:dyDescent="0.25">
      <c r="C41">
        <v>39</v>
      </c>
      <c r="D41" s="1">
        <f t="shared" si="1"/>
        <v>47680</v>
      </c>
      <c r="E41">
        <f>WEEKDAY(D41)</f>
        <v>3</v>
      </c>
      <c r="F41">
        <f t="shared" si="2"/>
        <v>1</v>
      </c>
      <c r="G41">
        <f t="shared" si="3"/>
        <v>0</v>
      </c>
      <c r="H41">
        <f t="shared" si="4"/>
        <v>1</v>
      </c>
      <c r="I41">
        <f t="shared" si="5"/>
        <v>0</v>
      </c>
      <c r="J41">
        <f t="shared" si="6"/>
        <v>0</v>
      </c>
      <c r="K41">
        <f t="shared" si="7"/>
        <v>0</v>
      </c>
      <c r="L41">
        <f t="shared" si="8"/>
        <v>0</v>
      </c>
      <c r="M41">
        <f t="shared" si="9"/>
        <v>0</v>
      </c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Legend</vt:lpstr>
      <vt:lpstr>Independence Day (Chile)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LeCrone Julian</dc:creator>
  <cp:lastModifiedBy>LeCrone Julian</cp:lastModifiedBy>
  <dcterms:created xsi:type="dcterms:W3CDTF">2025-10-31T15:43:53Z</dcterms:created>
  <dcterms:modified xsi:type="dcterms:W3CDTF">2025-10-31T16:03:15Z</dcterms:modified>
</cp:coreProperties>
</file>